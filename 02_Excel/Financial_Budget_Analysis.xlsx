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JWA\Downloads\Career\Data_Analytics_Portfolio\Financial_Budget_Analysis\02_Excel\"/>
    </mc:Choice>
  </mc:AlternateContent>
  <xr:revisionPtr revIDLastSave="0" documentId="13_ncr:1_{2C03B207-C711-430D-810E-698D3331E96C}" xr6:coauthVersionLast="47" xr6:coauthVersionMax="47" xr10:uidLastSave="{00000000-0000-0000-0000-000000000000}"/>
  <bookViews>
    <workbookView xWindow="9285" yWindow="0" windowWidth="19620" windowHeight="15585" activeTab="1" xr2:uid="{EA94BF34-085A-4C28-AC8D-E7E4626CE457}"/>
  </bookViews>
  <sheets>
    <sheet name="Cost Centre Analysis" sheetId="2" r:id="rId1"/>
    <sheet name="Monthly Analysis" sheetId="3" r:id="rId2"/>
  </sheets>
  <calcPr calcId="191029"/>
  <pivotCaches>
    <pivotCache cacheId="112" r:id="rId3"/>
    <pivotCache cacheId="127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ccounts_2824c151-bcf2-415b-bd9c-816ddb245ea6" name="accounts" connection="Query - accounts"/>
          <x15:modelTable id="cost_centres_42f451cb-3bfe-40cd-9f49-9e3447b2920a" name="cost_centres" connection="Query - cost_centres"/>
          <x15:modelTable id="months_aeb13440-b414-4742-8883-1f57657f8cdd" name="months" connection="Query - months"/>
          <x15:modelTable id="budget_lines_c707ec62-4b87-464b-ba6e-c94c2507e313" name="budget_lines" connection="Query - budget_lines"/>
        </x15:modelTables>
        <x15:modelRelationships>
          <x15:modelRelationship fromTable="budget_lines" fromColumn="account_id" toTable="accounts" toColumn="id"/>
          <x15:modelRelationship fromTable="budget_lines" fromColumn="cost_centre_id" toTable="cost_centres" toColumn="id"/>
          <x15:modelRelationship fromTable="budget_lines" fromColumn="month_id" toTable="months" toColumn="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months" columnName="month_start" columnId="month_start">
                <x16:calculatedTimeColumn columnName="month_start (Month Index)" columnId="month_start (Month Index)" contentType="monthsindex" isSelected="1"/>
                <x16:calculatedTimeColumn columnName="month_start (Month)" columnId="month_start (Month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61048B-02A6-4F6F-8290-4DB487289702}" name="Query - accounts" description="Connection to the 'accounts' query in the workbook." type="100" refreshedVersion="8" minRefreshableVersion="5">
    <extLst>
      <ext xmlns:x15="http://schemas.microsoft.com/office/spreadsheetml/2010/11/main" uri="{DE250136-89BD-433C-8126-D09CA5730AF9}">
        <x15:connection id="d0c7110d-e161-49e6-944a-adb8faa67758"/>
      </ext>
    </extLst>
  </connection>
  <connection id="2" xr16:uid="{65A3DC7C-15D7-433A-890C-1D9B79B65C2F}" name="Query - budget_lines" description="Connection to the 'budget_lines' query in the workbook." type="100" refreshedVersion="8" minRefreshableVersion="5">
    <extLst>
      <ext xmlns:x15="http://schemas.microsoft.com/office/spreadsheetml/2010/11/main" uri="{DE250136-89BD-433C-8126-D09CA5730AF9}">
        <x15:connection id="acdff31d-181c-4bc2-ba39-292c09c3293e"/>
      </ext>
    </extLst>
  </connection>
  <connection id="3" xr16:uid="{7838E734-C235-437B-9008-CC1A08EC22A6}" name="Query - cost_centres" description="Connection to the 'cost_centres' query in the workbook." type="100" refreshedVersion="8" minRefreshableVersion="5">
    <extLst>
      <ext xmlns:x15="http://schemas.microsoft.com/office/spreadsheetml/2010/11/main" uri="{DE250136-89BD-433C-8126-D09CA5730AF9}">
        <x15:connection id="a83e2ab8-1631-4aac-af06-aa4822e5dd30"/>
      </ext>
    </extLst>
  </connection>
  <connection id="4" xr16:uid="{A0798B16-5E52-49E7-92A9-9FE7E08CE072}" name="Query - months" description="Connection to the 'months' query in the workbook." type="100" refreshedVersion="8" minRefreshableVersion="5">
    <extLst>
      <ext xmlns:x15="http://schemas.microsoft.com/office/spreadsheetml/2010/11/main" uri="{DE250136-89BD-433C-8126-D09CA5730AF9}">
        <x15:connection id="4c2d6c7b-08e4-4510-9566-c984e4f59bb8"/>
      </ext>
    </extLst>
  </connection>
  <connection id="5" xr16:uid="{CDE35CE0-E95F-4E19-A578-6DA3F2627BA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<sst xmlns="http://schemas.openxmlformats.org/spreadsheetml/2006/main" count="22" uniqueCount="17">
  <si>
    <t>Customer support</t>
  </si>
  <si>
    <t>Data and analytics</t>
  </si>
  <si>
    <t>Engineering</t>
  </si>
  <si>
    <t>Facilities</t>
  </si>
  <si>
    <t>Finance</t>
  </si>
  <si>
    <t>Legal</t>
  </si>
  <si>
    <t>Marketing</t>
  </si>
  <si>
    <t>Operations</t>
  </si>
  <si>
    <t>People</t>
  </si>
  <si>
    <t>Sales</t>
  </si>
  <si>
    <t>Grand Total</t>
  </si>
  <si>
    <t>Cost Centre</t>
  </si>
  <si>
    <t>Budget</t>
  </si>
  <si>
    <t>Actual</t>
  </si>
  <si>
    <t>Variance</t>
  </si>
  <si>
    <t>Variance %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</si>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</sst>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10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JWA" refreshedDate="46324.633733796298" backgroundQuery="1" createdVersion="8" refreshedVersion="8" minRefreshableVersion="3" recordCount="0" supportSubquery="1" supportAdvancedDrill="1" xr:uid="{DE9D9E8E-2B28-4B97-8CC8-B819A160C424}">
  <cacheSource type="external" connectionId="5"/>
  <cacheFields count="7">
    <cacheField name="[cost_centres].[centre_name].[centre_name]" caption="centre_name" numFmtId="0" hierarchy="19" level="1">
      <sharedItems count="10">
        <s v="Customer support"/>
        <s v="Data and analytics"/>
        <s v="Engineering"/>
        <s v="Facilities"/>
        <s v="Finance"/>
        <s v="Legal"/>
        <s v="Marketing"/>
        <s v="Operations"/>
        <s v="People"/>
        <s v="Sales"/>
      </sharedItems>
    </cacheField>
    <cacheField name="[Measures].[Sum of budget_amount]" caption="Sum of budget_amount" numFmtId="0" hierarchy="29" level="32767"/>
    <cacheField name="[Measures].[Sum of actual_amount]" caption="Sum of actual_amount" numFmtId="0" hierarchy="30" level="32767"/>
    <cacheField name="[Measures].[Sum of variance_amount]" caption="Sum of variance_amount" numFmtId="0" hierarchy="31" level="32767"/>
    <cacheField name="[Measures].[Variance %]" caption="Variance %" numFmtId="0" hierarchy="32" level="32767"/>
    <cacheField name="[accounts].[account_label].[account_label]" caption="account_label" numFmtId="0" hierarchy="3" level="1">
      <sharedItems count="8">
        <s v="Cloud hosting"/>
        <s v="Contractors"/>
        <s v="Facilities"/>
        <s v="Marketing programmes"/>
        <s v="Salaries"/>
        <s v="Software subscriptions"/>
        <s v="Training"/>
        <s v="Travel"/>
      </sharedItems>
    </cacheField>
    <cacheField name="[cost_centres].[budget_holder].[budget_holder]" caption="budget_holder" numFmtId="0" hierarchy="20" level="1">
      <sharedItems count="10">
        <s v="Wanda Graham"/>
        <s v="Providenci Corkery IV"/>
        <s v="Hermann Rice"/>
        <s v="Juliana Koch"/>
        <s v="Nichole Murphy"/>
        <s v="Reece Champlin"/>
        <s v="Cecilia Pagac"/>
        <s v="Jerod Swaniawski"/>
        <s v="Urban Runolfsdottir"/>
        <s v="Kiley Franecki"/>
      </sharedItems>
    </cacheField>
  </cacheFields>
  <cacheHierarchies count="38">
    <cacheHierarchy uniqueName="[accounts].[id]" caption="id" attribute="1" defaultMemberUniqueName="[accounts].[id].[All]" allUniqueName="[accounts].[id].[All]" dimensionUniqueName="[accounts]" displayFolder="" count="0" memberValueDatatype="20" unbalanced="0"/>
    <cacheHierarchy uniqueName="[accounts].[ledger_set]" caption="ledger_set" attribute="1" defaultMemberUniqueName="[accounts].[ledger_set].[All]" allUniqueName="[accounts].[ledger_set].[All]" dimensionUniqueName="[accounts]" displayFolder="" count="0" memberValueDatatype="130" unbalanced="0"/>
    <cacheHierarchy uniqueName="[accounts].[account_no]" caption="account_no" attribute="1" defaultMemberUniqueName="[accounts].[account_no].[All]" allUniqueName="[accounts].[account_no].[All]" dimensionUniqueName="[accounts]" displayFolder="" count="0" memberValueDatatype="20" unbalanced="0"/>
    <cacheHierarchy uniqueName="[accounts].[account_label]" caption="account_label" attribute="1" defaultMemberUniqueName="[accounts].[account_label].[All]" allUniqueName="[accounts].[account_label].[All]" dimensionUniqueName="[accounts]" displayFolder="" count="2" memberValueDatatype="130" unbalanced="0">
      <fieldsUsage count="2">
        <fieldUsage x="-1"/>
        <fieldUsage x="5"/>
      </fieldsUsage>
    </cacheHierarchy>
    <cacheHierarchy uniqueName="[accounts].[monthly_base]" caption="monthly_base" attribute="1" defaultMemberUniqueName="[accounts].[monthly_base].[All]" allUniqueName="[accounts].[monthly_base].[All]" dimensionUniqueName="[accounts]" displayFolder="" count="0" memberValueDatatype="20" unbalanced="0"/>
    <cacheHierarchy uniqueName="[accounts].[spend_bias]" caption="spend_bias" attribute="1" defaultMemberUniqueName="[accounts].[spend_bias].[All]" allUniqueName="[accounts].[spend_bias].[All]" dimensionUniqueName="[accounts]" displayFolder="" count="0" memberValueDatatype="5" unbalanced="0"/>
    <cacheHierarchy uniqueName="[budget_lines].[cost_centre_id]" caption="cost_centre_id" attribute="1" defaultMemberUniqueName="[budget_lines].[cost_centre_id].[All]" allUniqueName="[budget_lines].[cost_centre_id].[All]" dimensionUniqueName="[budget_lines]" displayFolder="" count="0" memberValueDatatype="20" unbalanced="0"/>
    <cacheHierarchy uniqueName="[budget_lines].[account_id]" caption="account_id" attribute="1" defaultMemberUniqueName="[budget_lines].[account_id].[All]" allUniqueName="[budget_lines].[account_id].[All]" dimensionUniqueName="[budget_lines]" displayFolder="" count="0" memberValueDatatype="20" unbalanced="0"/>
    <cacheHierarchy uniqueName="[budget_lines].[month_id]" caption="month_id" attribute="1" defaultMemberUniqueName="[budget_lines].[month_id].[All]" allUniqueName="[budget_lines].[month_id].[All]" dimensionUniqueName="[budget_lines]" displayFolder="" count="0" memberValueDatatype="20" unbalanced="0"/>
    <cacheHierarchy uniqueName="[budget_lines].[booked_on]" caption="booked_on" attribute="1" time="1" defaultMemberUniqueName="[budget_lines].[booked_on].[All]" allUniqueName="[budget_lines].[booked_on].[All]" dimensionUniqueName="[budget_lines]" displayFolder="" count="0" memberValueDatatype="7" unbalanced="0"/>
    <cacheHierarchy uniqueName="[budget_lines].[base_budget]" caption="base_budget" attribute="1" defaultMemberUniqueName="[budget_lines].[base_budget].[All]" allUniqueName="[budget_lines].[base_budget].[All]" dimensionUniqueName="[budget_lines]" displayFolder="" count="0" memberValueDatatype="20" unbalanced="0"/>
    <cacheHierarchy uniqueName="[budget_lines].[budget_amount]" caption="budget_amount" attribute="1" defaultMemberUniqueName="[budget_lines].[budget_amount].[All]" allUniqueName="[budget_lines].[budget_amount].[All]" dimensionUniqueName="[budget_lines]" displayFolder="" count="0" memberValueDatatype="5" unbalanced="0"/>
    <cacheHierarchy uniqueName="[budget_lines].[centre_account_factor]" caption="centre_account_factor" attribute="1" defaultMemberUniqueName="[budget_lines].[centre_account_factor].[All]" allUniqueName="[budget_lines].[centre_account_factor].[All]" dimensionUniqueName="[budget_lines]" displayFolder="" count="0" memberValueDatatype="5" unbalanced="0"/>
    <cacheHierarchy uniqueName="[budget_lines].[line_swing]" caption="line_swing" attribute="1" defaultMemberUniqueName="[budget_lines].[line_swing].[All]" allUniqueName="[budget_lines].[line_swing].[All]" dimensionUniqueName="[budget_lines]" displayFolder="" count="0" memberValueDatatype="5" unbalanced="0"/>
    <cacheHierarchy uniqueName="[budget_lines].[spending_factor]" caption="spending_factor" attribute="1" defaultMemberUniqueName="[budget_lines].[spending_factor].[All]" allUniqueName="[budget_lines].[spending_factor].[All]" dimensionUniqueName="[budget_lines]" displayFolder="" count="0" memberValueDatatype="5" unbalanced="0"/>
    <cacheHierarchy uniqueName="[budget_lines].[actual_amount]" caption="actual_amount" attribute="1" defaultMemberUniqueName="[budget_lines].[actual_amount].[All]" allUniqueName="[budget_lines].[actual_amount].[All]" dimensionUniqueName="[budget_lines]" displayFolder="" count="0" memberValueDatatype="5" unbalanced="0"/>
    <cacheHierarchy uniqueName="[budget_lines].[variance_amount]" caption="variance_amount" attribute="1" defaultMemberUniqueName="[budget_lines].[variance_amount].[All]" allUniqueName="[budget_lines].[variance_amount].[All]" dimensionUniqueName="[budget_lines]" displayFolder="" count="0" memberValueDatatype="5" unbalanced="0"/>
    <cacheHierarchy uniqueName="[cost_centres].[id]" caption="id" attribute="1" defaultMemberUniqueName="[cost_centres].[id].[All]" allUniqueName="[cost_centres].[id].[All]" dimensionUniqueName="[cost_centres]" displayFolder="" count="0" memberValueDatatype="20" unbalanced="0"/>
    <cacheHierarchy uniqueName="[cost_centres].[ledger_set]" caption="ledger_set" attribute="1" defaultMemberUniqueName="[cost_centres].[ledger_set].[All]" allUniqueName="[cost_centres].[ledger_set].[All]" dimensionUniqueName="[cost_centres]" displayFolder="" count="0" memberValueDatatype="130" unbalanced="0"/>
    <cacheHierarchy uniqueName="[cost_centres].[centre_name]" caption="centre_name" attribute="1" defaultMemberUniqueName="[cost_centres].[centre_name].[All]" allUniqueName="[cost_centres].[centre_name].[All]" dimensionUniqueName="[cost_centres]" displayFolder="" count="2" memberValueDatatype="130" unbalanced="0">
      <fieldsUsage count="2">
        <fieldUsage x="-1"/>
        <fieldUsage x="0"/>
      </fieldsUsage>
    </cacheHierarchy>
    <cacheHierarchy uniqueName="[cost_centres].[budget_holder]" caption="budget_holder" attribute="1" defaultMemberUniqueName="[cost_centres].[budget_holder].[All]" allUniqueName="[cost_centres].[budget_holder].[All]" dimensionUniqueName="[cost_centres]" displayFolder="" count="2" memberValueDatatype="130" unbalanced="0">
      <fieldsUsage count="2">
        <fieldUsage x="-1"/>
        <fieldUsage x="6"/>
      </fieldsUsage>
    </cacheHierarchy>
    <cacheHierarchy uniqueName="[cost_centres].[size_factor]" caption="size_factor" attribute="1" defaultMemberUniqueName="[cost_centres].[size_factor].[All]" allUniqueName="[cost_centres].[size_factor].[All]" dimensionUniqueName="[cost_centres]" displayFolder="" count="0" memberValueDatatype="5" unbalanced="0"/>
    <cacheHierarchy uniqueName="[cost_centres].[spend_factor]" caption="spend_factor" attribute="1" defaultMemberUniqueName="[cost_centres].[spend_factor].[All]" allUniqueName="[cost_centres].[spend_factor].[All]" dimensionUniqueName="[cost_centres]" displayFolder="" count="0" memberValueDatatype="5" unbalanced="0"/>
    <cacheHierarchy uniqueName="[months].[id]" caption="id" attribute="1" defaultMemberUniqueName="[months].[id].[All]" allUniqueName="[months].[id].[All]" dimensionUniqueName="[months]" displayFolder="" count="0" memberValueDatatype="20" unbalanced="0"/>
    <cacheHierarchy uniqueName="[months].[ledger_set]" caption="ledger_set" attribute="1" defaultMemberUniqueName="[months].[ledger_set].[All]" allUniqueName="[months].[ledger_set].[All]" dimensionUniqueName="[months]" displayFolder="" count="0" memberValueDatatype="130" unbalanced="0"/>
    <cacheHierarchy uniqueName="[months].[month_start]" caption="month_start" attribute="1" time="1" defaultMemberUniqueName="[months].[month_start].[All]" allUniqueName="[months].[month_start].[All]" dimensionUniqueName="[months]" displayFolder="" count="0" memberValueDatatype="7" unbalanced="0"/>
    <cacheHierarchy uniqueName="[months].[phasing]" caption="phasing" attribute="1" defaultMemberUniqueName="[months].[phasing].[All]" allUniqueName="[months].[phasing].[All]" dimensionUniqueName="[months]" displayFolder="" count="0" memberValueDatatype="5" unbalanced="0"/>
    <cacheHierarchy uniqueName="[months].[month_start (Month)]" caption="month_start (Month)" attribute="1" defaultMemberUniqueName="[months].[month_start (Month)].[All]" allUniqueName="[months].[month_start (Month)].[All]" dimensionUniqueName="[months]" displayFolder="" count="0" memberValueDatatype="130" unbalanced="0"/>
    <cacheHierarchy uniqueName="[months].[month_start (Month Index)]" caption="month_start (Month Index)" attribute="1" defaultMemberUniqueName="[months].[month_start (Month Index)].[All]" allUniqueName="[months].[month_start (Month Index)].[All]" dimensionUniqueName="[months]" displayFolder="" count="0" memberValueDatatype="20" unbalanced="0" hidden="1"/>
    <cacheHierarchy uniqueName="[Measures].[Sum of budget_amount]" caption="Sum of budget_amount" measure="1" displayFolder="" measureGroup="budget_line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ctual_amount]" caption="Sum of actual_amount" measure="1" displayFolder="" measureGroup="budget_line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variance_amount]" caption="Sum of variance_amount" measure="1" displayFolder="" measureGroup="budget_line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Variance %]" caption="Variance %" measure="1" displayFolder="" measureGroup="budget_lines" count="0" oneField="1">
      <fieldsUsage count="1">
        <fieldUsage x="4"/>
      </fieldsUsage>
    </cacheHierarchy>
    <cacheHierarchy uniqueName="[Measures].[__XL_Count accounts]" caption="__XL_Count accounts" measure="1" displayFolder="" measureGroup="accounts" count="0" hidden="1"/>
    <cacheHierarchy uniqueName="[Measures].[__XL_Count cost_centres]" caption="__XL_Count cost_centres" measure="1" displayFolder="" measureGroup="cost_centres" count="0" hidden="1"/>
    <cacheHierarchy uniqueName="[Measures].[__XL_Count months]" caption="__XL_Count months" measure="1" displayFolder="" measureGroup="months" count="0" hidden="1"/>
    <cacheHierarchy uniqueName="[Measures].[__XL_Count budget_lines]" caption="__XL_Count budget_lines" measure="1" displayFolder="" measureGroup="budget_lines" count="0" hidden="1"/>
    <cacheHierarchy uniqueName="[Measures].[__No measures defined]" caption="__No measures defined" measure="1" displayFolder="" count="0" hidden="1"/>
  </cacheHierarchies>
  <kpis count="0"/>
  <dimensions count="5">
    <dimension name="accounts" uniqueName="[accounts]" caption="accounts"/>
    <dimension name="budget_lines" uniqueName="[budget_lines]" caption="budget_lines"/>
    <dimension name="cost_centres" uniqueName="[cost_centres]" caption="cost_centres"/>
    <dimension measure="1" name="Measures" uniqueName="[Measures]" caption="Measures"/>
    <dimension name="months" uniqueName="[months]" caption="months"/>
  </dimensions>
  <measureGroups count="4">
    <measureGroup name="accounts" caption="accounts"/>
    <measureGroup name="budget_lines" caption="budget_lines"/>
    <measureGroup name="cost_centres" caption="cost_centres"/>
    <measureGroup name="months" caption="months"/>
  </measureGroups>
  <maps count="7">
    <map measureGroup="0" dimension="0"/>
    <map measureGroup="1" dimension="0"/>
    <map measureGroup="1" dimension="1"/>
    <map measureGroup="1" dimension="2"/>
    <map measureGroup="1" dimension="4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JWA" refreshedDate="46324.635681018517" backgroundQuery="1" createdVersion="8" refreshedVersion="8" minRefreshableVersion="3" recordCount="0" supportSubquery="1" supportAdvancedDrill="1" xr:uid="{216A2B51-E746-4587-97CD-46FBFBEE39DA}">
  <cacheSource type="external" connectionId="5"/>
  <cacheFields count="6">
    <cacheField name="[months].[month_start].[month_start]" caption="month_start" numFmtId="0" hierarchy="25" level="1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</cacheField>
    <cacheField name="[Measures].[Sum of budget_amount]" caption="Sum of budget_amount" numFmtId="0" hierarchy="29" level="32767"/>
    <cacheField name="[Measures].[Sum of actual_amount]" caption="Sum of actual_amount" numFmtId="0" hierarchy="30" level="32767"/>
    <cacheField name="[Measures].[Sum of variance_amount]" caption="Sum of variance_amount" numFmtId="0" hierarchy="31" level="32767"/>
    <cacheField name="[Measures].[Variance %]" caption="Variance %" numFmtId="0" hierarchy="32" level="32767"/>
    <cacheField name="[accounts].[account_label].[account_label]" caption="account_label" numFmtId="0" hierarchy="3" level="1">
      <sharedItems count="8">
        <s v="Cloud hosting"/>
        <s v="Contractors"/>
        <s v="Facilities"/>
        <s v="Marketing programmes"/>
        <s v="Salaries"/>
        <s v="Software subscriptions"/>
        <s v="Training"/>
        <s v="Travel"/>
      </sharedItems>
    </cacheField>
  </cacheFields>
  <cacheHierarchies count="38">
    <cacheHierarchy uniqueName="[accounts].[id]" caption="id" attribute="1" defaultMemberUniqueName="[accounts].[id].[All]" allUniqueName="[accounts].[id].[All]" dimensionUniqueName="[accounts]" displayFolder="" count="0" memberValueDatatype="20" unbalanced="0"/>
    <cacheHierarchy uniqueName="[accounts].[ledger_set]" caption="ledger_set" attribute="1" defaultMemberUniqueName="[accounts].[ledger_set].[All]" allUniqueName="[accounts].[ledger_set].[All]" dimensionUniqueName="[accounts]" displayFolder="" count="0" memberValueDatatype="130" unbalanced="0"/>
    <cacheHierarchy uniqueName="[accounts].[account_no]" caption="account_no" attribute="1" defaultMemberUniqueName="[accounts].[account_no].[All]" allUniqueName="[accounts].[account_no].[All]" dimensionUniqueName="[accounts]" displayFolder="" count="0" memberValueDatatype="20" unbalanced="0"/>
    <cacheHierarchy uniqueName="[accounts].[account_label]" caption="account_label" attribute="1" defaultMemberUniqueName="[accounts].[account_label].[All]" allUniqueName="[accounts].[account_label].[All]" dimensionUniqueName="[accounts]" displayFolder="" count="2" memberValueDatatype="130" unbalanced="0">
      <fieldsUsage count="2">
        <fieldUsage x="-1"/>
        <fieldUsage x="5"/>
      </fieldsUsage>
    </cacheHierarchy>
    <cacheHierarchy uniqueName="[accounts].[monthly_base]" caption="monthly_base" attribute="1" defaultMemberUniqueName="[accounts].[monthly_base].[All]" allUniqueName="[accounts].[monthly_base].[All]" dimensionUniqueName="[accounts]" displayFolder="" count="0" memberValueDatatype="20" unbalanced="0"/>
    <cacheHierarchy uniqueName="[accounts].[spend_bias]" caption="spend_bias" attribute="1" defaultMemberUniqueName="[accounts].[spend_bias].[All]" allUniqueName="[accounts].[spend_bias].[All]" dimensionUniqueName="[accounts]" displayFolder="" count="0" memberValueDatatype="5" unbalanced="0"/>
    <cacheHierarchy uniqueName="[budget_lines].[cost_centre_id]" caption="cost_centre_id" attribute="1" defaultMemberUniqueName="[budget_lines].[cost_centre_id].[All]" allUniqueName="[budget_lines].[cost_centre_id].[All]" dimensionUniqueName="[budget_lines]" displayFolder="" count="0" memberValueDatatype="20" unbalanced="0"/>
    <cacheHierarchy uniqueName="[budget_lines].[account_id]" caption="account_id" attribute="1" defaultMemberUniqueName="[budget_lines].[account_id].[All]" allUniqueName="[budget_lines].[account_id].[All]" dimensionUniqueName="[budget_lines]" displayFolder="" count="0" memberValueDatatype="20" unbalanced="0"/>
    <cacheHierarchy uniqueName="[budget_lines].[month_id]" caption="month_id" attribute="1" defaultMemberUniqueName="[budget_lines].[month_id].[All]" allUniqueName="[budget_lines].[month_id].[All]" dimensionUniqueName="[budget_lines]" displayFolder="" count="0" memberValueDatatype="20" unbalanced="0"/>
    <cacheHierarchy uniqueName="[budget_lines].[booked_on]" caption="booked_on" attribute="1" time="1" defaultMemberUniqueName="[budget_lines].[booked_on].[All]" allUniqueName="[budget_lines].[booked_on].[All]" dimensionUniqueName="[budget_lines]" displayFolder="" count="0" memberValueDatatype="7" unbalanced="0"/>
    <cacheHierarchy uniqueName="[budget_lines].[base_budget]" caption="base_budget" attribute="1" defaultMemberUniqueName="[budget_lines].[base_budget].[All]" allUniqueName="[budget_lines].[base_budget].[All]" dimensionUniqueName="[budget_lines]" displayFolder="" count="0" memberValueDatatype="20" unbalanced="0"/>
    <cacheHierarchy uniqueName="[budget_lines].[budget_amount]" caption="budget_amount" attribute="1" defaultMemberUniqueName="[budget_lines].[budget_amount].[All]" allUniqueName="[budget_lines].[budget_amount].[All]" dimensionUniqueName="[budget_lines]" displayFolder="" count="0" memberValueDatatype="5" unbalanced="0"/>
    <cacheHierarchy uniqueName="[budget_lines].[centre_account_factor]" caption="centre_account_factor" attribute="1" defaultMemberUniqueName="[budget_lines].[centre_account_factor].[All]" allUniqueName="[budget_lines].[centre_account_factor].[All]" dimensionUniqueName="[budget_lines]" displayFolder="" count="0" memberValueDatatype="5" unbalanced="0"/>
    <cacheHierarchy uniqueName="[budget_lines].[line_swing]" caption="line_swing" attribute="1" defaultMemberUniqueName="[budget_lines].[line_swing].[All]" allUniqueName="[budget_lines].[line_swing].[All]" dimensionUniqueName="[budget_lines]" displayFolder="" count="0" memberValueDatatype="5" unbalanced="0"/>
    <cacheHierarchy uniqueName="[budget_lines].[spending_factor]" caption="spending_factor" attribute="1" defaultMemberUniqueName="[budget_lines].[spending_factor].[All]" allUniqueName="[budget_lines].[spending_factor].[All]" dimensionUniqueName="[budget_lines]" displayFolder="" count="0" memberValueDatatype="5" unbalanced="0"/>
    <cacheHierarchy uniqueName="[budget_lines].[actual_amount]" caption="actual_amount" attribute="1" defaultMemberUniqueName="[budget_lines].[actual_amount].[All]" allUniqueName="[budget_lines].[actual_amount].[All]" dimensionUniqueName="[budget_lines]" displayFolder="" count="0" memberValueDatatype="5" unbalanced="0"/>
    <cacheHierarchy uniqueName="[budget_lines].[variance_amount]" caption="variance_amount" attribute="1" defaultMemberUniqueName="[budget_lines].[variance_amount].[All]" allUniqueName="[budget_lines].[variance_amount].[All]" dimensionUniqueName="[budget_lines]" displayFolder="" count="0" memberValueDatatype="5" unbalanced="0"/>
    <cacheHierarchy uniqueName="[cost_centres].[id]" caption="id" attribute="1" defaultMemberUniqueName="[cost_centres].[id].[All]" allUniqueName="[cost_centres].[id].[All]" dimensionUniqueName="[cost_centres]" displayFolder="" count="0" memberValueDatatype="20" unbalanced="0"/>
    <cacheHierarchy uniqueName="[cost_centres].[ledger_set]" caption="ledger_set" attribute="1" defaultMemberUniqueName="[cost_centres].[ledger_set].[All]" allUniqueName="[cost_centres].[ledger_set].[All]" dimensionUniqueName="[cost_centres]" displayFolder="" count="0" memberValueDatatype="130" unbalanced="0"/>
    <cacheHierarchy uniqueName="[cost_centres].[centre_name]" caption="centre_name" attribute="1" defaultMemberUniqueName="[cost_centres].[centre_name].[All]" allUniqueName="[cost_centres].[centre_name].[All]" dimensionUniqueName="[cost_centres]" displayFolder="" count="0" memberValueDatatype="130" unbalanced="0"/>
    <cacheHierarchy uniqueName="[cost_centres].[budget_holder]" caption="budget_holder" attribute="1" defaultMemberUniqueName="[cost_centres].[budget_holder].[All]" allUniqueName="[cost_centres].[budget_holder].[All]" dimensionUniqueName="[cost_centres]" displayFolder="" count="0" memberValueDatatype="130" unbalanced="0"/>
    <cacheHierarchy uniqueName="[cost_centres].[size_factor]" caption="size_factor" attribute="1" defaultMemberUniqueName="[cost_centres].[size_factor].[All]" allUniqueName="[cost_centres].[size_factor].[All]" dimensionUniqueName="[cost_centres]" displayFolder="" count="0" memberValueDatatype="5" unbalanced="0"/>
    <cacheHierarchy uniqueName="[cost_centres].[spend_factor]" caption="spend_factor" attribute="1" defaultMemberUniqueName="[cost_centres].[spend_factor].[All]" allUniqueName="[cost_centres].[spend_factor].[All]" dimensionUniqueName="[cost_centres]" displayFolder="" count="0" memberValueDatatype="5" unbalanced="0"/>
    <cacheHierarchy uniqueName="[months].[id]" caption="id" attribute="1" defaultMemberUniqueName="[months].[id].[All]" allUniqueName="[months].[id].[All]" dimensionUniqueName="[months]" displayFolder="" count="0" memberValueDatatype="20" unbalanced="0"/>
    <cacheHierarchy uniqueName="[months].[ledger_set]" caption="ledger_set" attribute="1" defaultMemberUniqueName="[months].[ledger_set].[All]" allUniqueName="[months].[ledger_set].[All]" dimensionUniqueName="[months]" displayFolder="" count="0" memberValueDatatype="130" unbalanced="0"/>
    <cacheHierarchy uniqueName="[months].[month_start]" caption="month_start" attribute="1" time="1" defaultMemberUniqueName="[months].[month_start].[All]" allUniqueName="[months].[month_start].[All]" dimensionUniqueName="[months]" displayFolder="" count="2" memberValueDatatype="7" unbalanced="0">
      <fieldsUsage count="2">
        <fieldUsage x="-1"/>
        <fieldUsage x="0"/>
      </fieldsUsage>
    </cacheHierarchy>
    <cacheHierarchy uniqueName="[months].[phasing]" caption="phasing" attribute="1" defaultMemberUniqueName="[months].[phasing].[All]" allUniqueName="[months].[phasing].[All]" dimensionUniqueName="[months]" displayFolder="" count="0" memberValueDatatype="5" unbalanced="0"/>
    <cacheHierarchy uniqueName="[months].[month_start (Month)]" caption="month_start (Month)" attribute="1" defaultMemberUniqueName="[months].[month_start (Month)].[All]" allUniqueName="[months].[month_start (Month)].[All]" dimensionUniqueName="[months]" displayFolder="" count="2" memberValueDatatype="130" unbalanced="0"/>
    <cacheHierarchy uniqueName="[months].[month_start (Month Index)]" caption="month_start (Month Index)" attribute="1" defaultMemberUniqueName="[months].[month_start (Month Index)].[All]" allUniqueName="[months].[month_start (Month Index)].[All]" dimensionUniqueName="[months]" displayFolder="" count="0" memberValueDatatype="20" unbalanced="0" hidden="1"/>
    <cacheHierarchy uniqueName="[Measures].[Sum of budget_amount]" caption="Sum of budget_amount" measure="1" displayFolder="" measureGroup="budget_line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ctual_amount]" caption="Sum of actual_amount" measure="1" displayFolder="" measureGroup="budget_line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variance_amount]" caption="Sum of variance_amount" measure="1" displayFolder="" measureGroup="budget_line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Variance %]" caption="Variance %" measure="1" displayFolder="" measureGroup="budget_lines" count="0" oneField="1">
      <fieldsUsage count="1">
        <fieldUsage x="4"/>
      </fieldsUsage>
    </cacheHierarchy>
    <cacheHierarchy uniqueName="[Measures].[__XL_Count accounts]" caption="__XL_Count accounts" measure="1" displayFolder="" measureGroup="accounts" count="0" hidden="1"/>
    <cacheHierarchy uniqueName="[Measures].[__XL_Count cost_centres]" caption="__XL_Count cost_centres" measure="1" displayFolder="" measureGroup="cost_centres" count="0" hidden="1"/>
    <cacheHierarchy uniqueName="[Measures].[__XL_Count months]" caption="__XL_Count months" measure="1" displayFolder="" measureGroup="months" count="0" hidden="1"/>
    <cacheHierarchy uniqueName="[Measures].[__XL_Count budget_lines]" caption="__XL_Count budget_lines" measure="1" displayFolder="" measureGroup="budget_lines" count="0" hidden="1"/>
    <cacheHierarchy uniqueName="[Measures].[__No measures defined]" caption="__No measures defined" measure="1" displayFolder="" count="0" hidden="1"/>
  </cacheHierarchies>
  <kpis count="0"/>
  <dimensions count="5">
    <dimension name="accounts" uniqueName="[accounts]" caption="accounts"/>
    <dimension name="budget_lines" uniqueName="[budget_lines]" caption="budget_lines"/>
    <dimension name="cost_centres" uniqueName="[cost_centres]" caption="cost_centres"/>
    <dimension measure="1" name="Measures" uniqueName="[Measures]" caption="Measures"/>
    <dimension name="months" uniqueName="[months]" caption="months"/>
  </dimensions>
  <measureGroups count="4">
    <measureGroup name="accounts" caption="accounts"/>
    <measureGroup name="budget_lines" caption="budget_lines"/>
    <measureGroup name="cost_centres" caption="cost_centres"/>
    <measureGroup name="months" caption="months"/>
  </measureGroups>
  <maps count="7">
    <map measureGroup="0" dimension="0"/>
    <map measureGroup="1" dimension="0"/>
    <map measureGroup="1" dimension="1"/>
    <map measureGroup="1" dimension="2"/>
    <map measureGroup="1" dimension="4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BEB3E5-D653-47C6-888E-3A32F98B0ADC}" name="PivotTable1" cacheId="112" applyNumberFormats="0" applyBorderFormats="0" applyFontFormats="0" applyPatternFormats="0" applyAlignmentFormats="0" applyWidthHeightFormats="1" dataCaption="Values" tag="3ff80030-eda5-466d-9eba-913d532806f3" updatedVersion="8" minRefreshableVersion="3" useAutoFormatting="1" subtotalHiddenItems="1" itemPrintTitles="1" createdVersion="8" indent="0" outline="1" outlineData="1" multipleFieldFilters="0" rowHeaderCaption="Cost Centre">
  <location ref="A3:E14" firstHeaderRow="0" firstDataRow="1" firstDataCol="1"/>
  <pivotFields count="7">
    <pivotField axis="axisRow" allDrilled="1" subtotalTop="0" showAll="0" dataSourceSort="1" defaultSubtotal="0">
      <items count="10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3">
    <field x="0"/>
    <field x="6"/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Budget" fld="1" baseField="0" baseItem="0" numFmtId="164"/>
    <dataField name="Actual" fld="2" baseField="0" baseItem="0" numFmtId="164"/>
    <dataField name="Variance" fld="3" baseField="0" baseItem="0" numFmtId="164"/>
    <dataField fld="4" subtotal="count" baseField="0" baseItem="6" numFmtId="10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Budget"/>
    <pivotHierarchy dragToData="1" caption="Actual"/>
    <pivotHierarchy dragToData="1" caption="Variance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19"/>
    <rowHierarchyUsage hierarchyUsage="20"/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st_centres]"/>
        <x15:activeTabTopLevelEntity name="[budget_lines]"/>
        <x15:activeTabTopLevelEntity name="[accou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B40101-15A9-49A4-8180-DEF2A4585C2E}" name="PivotTable2" cacheId="127" applyNumberFormats="0" applyBorderFormats="0" applyFontFormats="0" applyPatternFormats="0" applyAlignmentFormats="0" applyWidthHeightFormats="1" dataCaption="Values" tag="f77bbfde-07fd-4b96-a898-ec4740a2a5e1" updatedVersion="8" minRefreshableVersion="3" useAutoFormatting="1" subtotalHiddenItems="1" itemPrintTitles="1" createdVersion="8" indent="0" outline="1" outlineData="1" multipleFieldFilters="0" rowHeaderCaption="Month">
  <location ref="A3:E16" firstHeaderRow="0" firstDataRow="1" firstDataCol="1"/>
  <pivotFields count="6"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</pivotFields>
  <rowFields count="2">
    <field x="0"/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Budget" fld="1" baseField="0" baseItem="0"/>
    <dataField name="Actual" fld="2" baseField="0" baseItem="0"/>
    <dataField name="Variance" fld="3" baseField="0" baseItem="0"/>
    <dataField fld="4" subtotal="count" baseField="0" baseItem="8" numFmtId="10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Budget"/>
    <pivotHierarchy dragToData="1" caption="Actual"/>
    <pivotHierarchy dragToData="1" caption="Variance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5"/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onths]"/>
        <x15:activeTabTopLevelEntity name="[budget_lines]"/>
        <x15:activeTabTopLevelEntity name="[accou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6DE44-7A1F-40A7-B1B8-03887A1F4C28}">
  <dimension ref="A3:E14"/>
  <sheetViews>
    <sheetView zoomScale="85" zoomScaleNormal="85" workbookViewId="0">
      <selection activeCell="A3" sqref="A3"/>
    </sheetView>
  </sheetViews>
  <sheetFormatPr defaultRowHeight="15" x14ac:dyDescent="0.25"/>
  <cols>
    <col min="1" max="1" width="18.85546875" bestFit="1" customWidth="1"/>
    <col min="2" max="3" width="12.7109375" bestFit="1" customWidth="1"/>
    <col min="4" max="4" width="11.85546875" bestFit="1" customWidth="1"/>
    <col min="5" max="5" width="10.7109375" bestFit="1" customWidth="1"/>
  </cols>
  <sheetData>
    <row r="3" spans="1:5" x14ac:dyDescent="0.25">
      <c r="A3" s="1" t="s">
        <v>11</v>
      </c>
      <c r="B3" t="s">
        <v>12</v>
      </c>
      <c r="C3" t="s">
        <v>13</v>
      </c>
      <c r="D3" t="s">
        <v>14</v>
      </c>
      <c r="E3" t="s">
        <v>15</v>
      </c>
    </row>
    <row r="4" spans="1:5" x14ac:dyDescent="0.25">
      <c r="A4" s="2" t="s">
        <v>0</v>
      </c>
      <c r="B4" s="4">
        <v>826809.48</v>
      </c>
      <c r="C4" s="4">
        <v>820015.11</v>
      </c>
      <c r="D4" s="4">
        <v>6794.37</v>
      </c>
      <c r="E4" s="5">
        <v>8.2175763151627144E-3</v>
      </c>
    </row>
    <row r="5" spans="1:5" x14ac:dyDescent="0.25">
      <c r="A5" s="2" t="s">
        <v>1</v>
      </c>
      <c r="B5" s="4">
        <v>938919.24</v>
      </c>
      <c r="C5" s="4">
        <v>996421.24</v>
      </c>
      <c r="D5" s="4">
        <v>-57502</v>
      </c>
      <c r="E5" s="5">
        <v>-6.1242753956133648E-2</v>
      </c>
    </row>
    <row r="6" spans="1:5" x14ac:dyDescent="0.25">
      <c r="A6" s="2" t="s">
        <v>2</v>
      </c>
      <c r="B6" s="4">
        <v>784768.32</v>
      </c>
      <c r="C6" s="4">
        <v>765749.54</v>
      </c>
      <c r="D6" s="4">
        <v>19018.78</v>
      </c>
      <c r="E6" s="5">
        <v>2.4234897759379481E-2</v>
      </c>
    </row>
    <row r="7" spans="1:5" x14ac:dyDescent="0.25">
      <c r="A7" s="2" t="s">
        <v>3</v>
      </c>
      <c r="B7" s="4">
        <v>1219193.6399999999</v>
      </c>
      <c r="C7" s="4">
        <v>1288074.8899999999</v>
      </c>
      <c r="D7" s="4">
        <v>-68881.25</v>
      </c>
      <c r="E7" s="5">
        <v>-5.6497382975193348E-2</v>
      </c>
    </row>
    <row r="8" spans="1:5" x14ac:dyDescent="0.25">
      <c r="A8" s="2" t="s">
        <v>4</v>
      </c>
      <c r="B8" s="4">
        <v>854836.92</v>
      </c>
      <c r="C8" s="4">
        <v>863561.72</v>
      </c>
      <c r="D8" s="4">
        <v>-8724.7999999999993</v>
      </c>
      <c r="E8" s="5">
        <v>-1.0206391179267268E-2</v>
      </c>
    </row>
    <row r="9" spans="1:5" x14ac:dyDescent="0.25">
      <c r="A9" s="2" t="s">
        <v>5</v>
      </c>
      <c r="B9" s="4">
        <v>924905.52</v>
      </c>
      <c r="C9" s="4">
        <v>966045.07</v>
      </c>
      <c r="D9" s="4">
        <v>-41139.550000000003</v>
      </c>
      <c r="E9" s="5">
        <v>-4.4479732373096881E-2</v>
      </c>
    </row>
    <row r="10" spans="1:5" x14ac:dyDescent="0.25">
      <c r="A10" s="2" t="s">
        <v>6</v>
      </c>
      <c r="B10" s="4">
        <v>630617.4</v>
      </c>
      <c r="C10" s="4">
        <v>631139.22</v>
      </c>
      <c r="D10" s="4">
        <v>-521.82000000000005</v>
      </c>
      <c r="E10" s="5">
        <v>-8.2747478899250168E-4</v>
      </c>
    </row>
    <row r="11" spans="1:5" x14ac:dyDescent="0.25">
      <c r="A11" s="2" t="s">
        <v>7</v>
      </c>
      <c r="B11" s="4">
        <v>798782.04</v>
      </c>
      <c r="C11" s="4">
        <v>831870.03</v>
      </c>
      <c r="D11" s="4">
        <v>-33087.99</v>
      </c>
      <c r="E11" s="5">
        <v>-4.1423052025556302E-2</v>
      </c>
    </row>
    <row r="12" spans="1:5" x14ac:dyDescent="0.25">
      <c r="A12" s="2" t="s">
        <v>8</v>
      </c>
      <c r="B12" s="4">
        <v>994974.12</v>
      </c>
      <c r="C12" s="4">
        <v>1026721.01</v>
      </c>
      <c r="D12" s="4">
        <v>-31746.89</v>
      </c>
      <c r="E12" s="5">
        <v>-3.1907252019781181E-2</v>
      </c>
    </row>
    <row r="13" spans="1:5" x14ac:dyDescent="0.25">
      <c r="A13" s="2" t="s">
        <v>9</v>
      </c>
      <c r="B13" s="4">
        <v>896878.07999999996</v>
      </c>
      <c r="C13" s="4">
        <v>905546.52</v>
      </c>
      <c r="D13" s="4">
        <v>-8668.44</v>
      </c>
      <c r="E13" s="5">
        <v>-9.6651263904231014E-3</v>
      </c>
    </row>
    <row r="14" spans="1:5" x14ac:dyDescent="0.25">
      <c r="A14" s="2" t="s">
        <v>10</v>
      </c>
      <c r="B14" s="4">
        <v>8870684.7599999998</v>
      </c>
      <c r="C14" s="4">
        <v>9095144.3499999996</v>
      </c>
      <c r="D14" s="4">
        <v>-224459.59</v>
      </c>
      <c r="E14" s="5">
        <v>-2.5303524595095633E-2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08783-0E2E-4BA3-AC00-7CCED5084FE5}">
  <dimension ref="A3:E16"/>
  <sheetViews>
    <sheetView tabSelected="1" zoomScale="85" zoomScaleNormal="85" workbookViewId="0">
      <selection activeCell="D20" sqref="D20"/>
    </sheetView>
  </sheetViews>
  <sheetFormatPr defaultRowHeight="15" x14ac:dyDescent="0.25"/>
  <cols>
    <col min="1" max="1" width="11.5703125" bestFit="1" customWidth="1"/>
    <col min="2" max="3" width="11.28515625" bestFit="1" customWidth="1"/>
    <col min="4" max="4" width="10.85546875" bestFit="1" customWidth="1"/>
    <col min="5" max="5" width="10.7109375" bestFit="1" customWidth="1"/>
  </cols>
  <sheetData>
    <row r="3" spans="1:5" x14ac:dyDescent="0.25">
      <c r="A3" s="1" t="s">
        <v>16</v>
      </c>
      <c r="B3" t="s">
        <v>12</v>
      </c>
      <c r="C3" t="s">
        <v>13</v>
      </c>
      <c r="D3" t="s">
        <v>14</v>
      </c>
      <c r="E3" t="s">
        <v>15</v>
      </c>
    </row>
    <row r="4" spans="1:5" x14ac:dyDescent="0.25">
      <c r="A4" s="6">
        <v>45658</v>
      </c>
      <c r="B4" s="3">
        <v>691413.24</v>
      </c>
      <c r="C4" s="3">
        <v>710088.27</v>
      </c>
      <c r="D4" s="3">
        <v>-18675.03</v>
      </c>
      <c r="E4" s="5">
        <v>-2.7009939815442353E-2</v>
      </c>
    </row>
    <row r="5" spans="1:5" x14ac:dyDescent="0.25">
      <c r="A5" s="6">
        <v>45689</v>
      </c>
      <c r="B5" s="3">
        <v>676702.32</v>
      </c>
      <c r="C5" s="3">
        <v>691241.47</v>
      </c>
      <c r="D5" s="3">
        <v>-14539.15</v>
      </c>
      <c r="E5" s="5">
        <v>-2.1485296518563731E-2</v>
      </c>
    </row>
    <row r="6" spans="1:5" x14ac:dyDescent="0.25">
      <c r="A6" s="6">
        <v>45717</v>
      </c>
      <c r="B6" s="3">
        <v>735546</v>
      </c>
      <c r="C6" s="3">
        <v>751976.55</v>
      </c>
      <c r="D6" s="3">
        <v>-16430.55</v>
      </c>
      <c r="E6" s="5">
        <v>-2.233789593037009E-2</v>
      </c>
    </row>
    <row r="7" spans="1:5" x14ac:dyDescent="0.25">
      <c r="A7" s="6">
        <v>45748</v>
      </c>
      <c r="B7" s="3">
        <v>735546</v>
      </c>
      <c r="C7" s="3">
        <v>752068.47</v>
      </c>
      <c r="D7" s="3">
        <v>-16522.47</v>
      </c>
      <c r="E7" s="5">
        <v>-2.2462864321198133E-2</v>
      </c>
    </row>
    <row r="8" spans="1:5" x14ac:dyDescent="0.25">
      <c r="A8" s="6">
        <v>45778</v>
      </c>
      <c r="B8" s="3">
        <v>750256.92</v>
      </c>
      <c r="C8" s="3">
        <v>767202.52</v>
      </c>
      <c r="D8" s="3">
        <v>-16945.599999999999</v>
      </c>
      <c r="E8" s="5">
        <v>-2.2586396137472476E-2</v>
      </c>
    </row>
    <row r="9" spans="1:5" x14ac:dyDescent="0.25">
      <c r="A9" s="6">
        <v>45809</v>
      </c>
      <c r="B9" s="3">
        <v>764967.84</v>
      </c>
      <c r="C9" s="3">
        <v>781248.88</v>
      </c>
      <c r="D9" s="3">
        <v>-16281.04</v>
      </c>
      <c r="E9" s="5">
        <v>-2.1283299961995791E-2</v>
      </c>
    </row>
    <row r="10" spans="1:5" x14ac:dyDescent="0.25">
      <c r="A10" s="6">
        <v>45839</v>
      </c>
      <c r="B10" s="3">
        <v>706124.16</v>
      </c>
      <c r="C10" s="3">
        <v>730061.49</v>
      </c>
      <c r="D10" s="3">
        <v>-23937.33</v>
      </c>
      <c r="E10" s="5">
        <v>-3.389960485136212E-2</v>
      </c>
    </row>
    <row r="11" spans="1:5" x14ac:dyDescent="0.25">
      <c r="A11" s="6">
        <v>45870</v>
      </c>
      <c r="B11" s="3">
        <v>661991.4</v>
      </c>
      <c r="C11" s="3">
        <v>682770.3</v>
      </c>
      <c r="D11" s="3">
        <v>-20778.900000000001</v>
      </c>
      <c r="E11" s="5">
        <v>-3.1388474230934119E-2</v>
      </c>
    </row>
    <row r="12" spans="1:5" x14ac:dyDescent="0.25">
      <c r="A12" s="6">
        <v>45901</v>
      </c>
      <c r="B12" s="3">
        <v>779678.76</v>
      </c>
      <c r="C12" s="3">
        <v>796311.9</v>
      </c>
      <c r="D12" s="3">
        <v>-16633.14</v>
      </c>
      <c r="E12" s="5">
        <v>-2.1333324509186322E-2</v>
      </c>
    </row>
    <row r="13" spans="1:5" x14ac:dyDescent="0.25">
      <c r="A13" s="6">
        <v>45931</v>
      </c>
      <c r="B13" s="3">
        <v>794389.68</v>
      </c>
      <c r="C13" s="3">
        <v>817307.66</v>
      </c>
      <c r="D13" s="3">
        <v>-22917.98</v>
      </c>
      <c r="E13" s="5">
        <v>-2.8849795732492394E-2</v>
      </c>
    </row>
    <row r="14" spans="1:5" x14ac:dyDescent="0.25">
      <c r="A14" s="6">
        <v>45962</v>
      </c>
      <c r="B14" s="3">
        <v>764967.84</v>
      </c>
      <c r="C14" s="3">
        <v>782747.9</v>
      </c>
      <c r="D14" s="3">
        <v>-17780.060000000001</v>
      </c>
      <c r="E14" s="5">
        <v>-2.3242885609413334E-2</v>
      </c>
    </row>
    <row r="15" spans="1:5" x14ac:dyDescent="0.25">
      <c r="A15" s="6">
        <v>45992</v>
      </c>
      <c r="B15" s="3">
        <v>809100.6</v>
      </c>
      <c r="C15" s="3">
        <v>832118.94</v>
      </c>
      <c r="D15" s="3">
        <v>-23018.34</v>
      </c>
      <c r="E15" s="5">
        <v>-2.8449292955659657E-2</v>
      </c>
    </row>
    <row r="16" spans="1:5" x14ac:dyDescent="0.25">
      <c r="A16" s="2" t="s">
        <v>10</v>
      </c>
      <c r="B16" s="3">
        <v>8870684.7599999998</v>
      </c>
      <c r="C16" s="3">
        <v>9095144.3499999996</v>
      </c>
      <c r="D16" s="3">
        <v>-224459.59</v>
      </c>
      <c r="E16" s="5">
        <v>-2.5303524595095633E-2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B6097398-9E6E-42D3-B842-8194EA231033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B179E58-1E82-4DE0-B2BF-E984A1B6D561}">
  <ds:schemaRefs/>
</ds:datastoreItem>
</file>

<file path=customXml/itemProps3.xml><?xml version="1.0" encoding="utf-8"?>
<ds:datastoreItem xmlns:ds="http://schemas.openxmlformats.org/officeDocument/2006/customXml" ds:itemID="{0DAA7E1B-B068-474D-AEEA-56ED1E238587}">
  <ds:schemaRefs/>
</ds:datastoreItem>
</file>

<file path=customXml/itemProps4.xml><?xml version="1.0" encoding="utf-8"?>
<ds:datastoreItem xmlns:ds="http://schemas.openxmlformats.org/officeDocument/2006/customXml" ds:itemID="{0DC94DAD-9210-40B4-8A57-13EC162A5A44}">
  <ds:schemaRefs/>
</ds:datastoreItem>
</file>

<file path=customXml/itemProps5.xml><?xml version="1.0" encoding="utf-8"?>
<ds:datastoreItem xmlns:ds="http://schemas.openxmlformats.org/officeDocument/2006/customXml" ds:itemID="{A6A9DBFD-88D4-4F0D-94D0-1AEC3E1FDA26}">
  <ds:schemaRefs/>
</ds:datastoreItem>
</file>

<file path=customXml/itemProps6.xml><?xml version="1.0" encoding="utf-8"?>
<ds:datastoreItem xmlns:ds="http://schemas.openxmlformats.org/officeDocument/2006/customXml" ds:itemID="{AFE38346-EA34-4CBC-8AF7-7DD798FC5215}">
  <ds:schemaRefs/>
</ds:datastoreItem>
</file>

<file path=customXml/itemProps7.xml><?xml version="1.0" encoding="utf-8"?>
<ds:datastoreItem xmlns:ds="http://schemas.openxmlformats.org/officeDocument/2006/customXml" ds:itemID="{1A4EA68E-1B14-4341-BAA0-A8FE11333654}">
  <ds:schemaRefs/>
</ds:datastoreItem>
</file>

<file path=customXml/itemProps8.xml><?xml version="1.0" encoding="utf-8"?>
<ds:datastoreItem xmlns:ds="http://schemas.openxmlformats.org/officeDocument/2006/customXml" ds:itemID="{0FEB080D-BDA0-4300-96EA-C2D42B7E509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 Centre Analysis</vt:lpstr>
      <vt:lpstr>Monthly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Najwa Mohd Amin</dc:creator>
  <cp:lastModifiedBy>Najwa Mohd Amin</cp:lastModifiedBy>
  <dcterms:created xsi:type="dcterms:W3CDTF">2026-10-28T23:37:48Z</dcterms:created>
  <dcterms:modified xsi:type="dcterms:W3CDTF">2026-10-29T07:16:44Z</dcterms:modified>
</cp:coreProperties>
</file>